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gx\Downloads\"/>
    </mc:Choice>
  </mc:AlternateContent>
  <xr:revisionPtr revIDLastSave="0" documentId="13_ncr:1_{453D8F03-EECC-4C01-A299-0667D16D7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 budget summary" sheetId="1" r:id="rId1"/>
    <sheet name="Income" sheetId="3" r:id="rId2"/>
    <sheet name="Personnel expenses" sheetId="4" r:id="rId3"/>
    <sheet name="Operating expenses" sheetId="5" r:id="rId4"/>
  </sheets>
  <definedNames>
    <definedName name="_xlnm._FilterDatabase" localSheetId="1" hidden="1">Income!#REF!</definedName>
    <definedName name="_xlnm._FilterDatabase" localSheetId="0" hidden="1">Income!#REF!</definedName>
    <definedName name="_xlnm._FilterDatabase" localSheetId="3" hidden="1">'Operating expenses'!#REF!</definedName>
    <definedName name="_xlnm._FilterDatabase" localSheetId="2" hidden="1">'Personnel expenses'!#REF!</definedName>
    <definedName name="BUDGET_Title">'Monthly budget summary'!$B$3</definedName>
    <definedName name="ColumnTitle1">Totals[[#Headers],[BUDGET TOTALS]]</definedName>
    <definedName name="COMPANY_NAME">'Monthly budget summary'!$B$2</definedName>
    <definedName name="_xlnm.Print_Titles" localSheetId="1">Income!$5:$5</definedName>
    <definedName name="_xlnm.Print_Titles" localSheetId="3">'Operating expenses'!$5:$5</definedName>
    <definedName name="_xlnm.Print_Titles" localSheetId="2">'Personnel expenses'!$5:$5</definedName>
    <definedName name="Title1">#REF!</definedName>
    <definedName name="Title2">Income[[#Headers],[INCOME]]</definedName>
    <definedName name="Title3">PersonnelExpenses[[#Headers],[PERSONNEL EXPENSES]]</definedName>
    <definedName name="Title4">OperatingExpenses[[#Headers],[OPERATING EXPENSES]]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C6" i="1"/>
  <c r="E6" i="4"/>
  <c r="E7" i="5"/>
  <c r="E8" i="5"/>
  <c r="E6" i="5"/>
  <c r="B2" i="4"/>
  <c r="B2" i="3" l="1"/>
  <c r="B2" i="5"/>
  <c r="C23" i="5"/>
  <c r="D23" i="5" l="1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D9" i="4"/>
  <c r="C9" i="4"/>
  <c r="E8" i="4"/>
  <c r="E7" i="4"/>
  <c r="D7" i="1" l="1"/>
  <c r="C7" i="1"/>
  <c r="E23" i="5"/>
  <c r="E9" i="4"/>
  <c r="D9" i="3"/>
  <c r="E7" i="3"/>
  <c r="E6" i="3"/>
  <c r="D6" i="1" l="1"/>
  <c r="D8" i="1" l="1"/>
  <c r="C9" i="3" l="1"/>
  <c r="E6" i="1" s="1"/>
  <c r="E8" i="3"/>
  <c r="E9" i="3" s="1"/>
  <c r="C8" i="1" l="1"/>
  <c r="E8" i="1" s="1"/>
</calcChain>
</file>

<file path=xl/sharedStrings.xml><?xml version="1.0" encoding="utf-8"?>
<sst xmlns="http://schemas.openxmlformats.org/spreadsheetml/2006/main" count="50" uniqueCount="38">
  <si>
    <t>MONTHLY BUDGET</t>
  </si>
  <si>
    <t>BUDGET TOTALS</t>
  </si>
  <si>
    <t>ESTIMATED</t>
  </si>
  <si>
    <t>ACTUAL</t>
  </si>
  <si>
    <t>DIFFERENCE</t>
  </si>
  <si>
    <t>Income</t>
  </si>
  <si>
    <t>Expenses</t>
  </si>
  <si>
    <t>Balance (income minus expenses)</t>
  </si>
  <si>
    <t>INCOME</t>
  </si>
  <si>
    <t>Net sales</t>
  </si>
  <si>
    <t>Interest income</t>
  </si>
  <si>
    <t>Asset sales (gain/loss)</t>
  </si>
  <si>
    <t>Total Income</t>
  </si>
  <si>
    <t>PERSONNEL EXPENSES</t>
  </si>
  <si>
    <t>Employee benefits</t>
  </si>
  <si>
    <t>Total Personnel Expenses</t>
  </si>
  <si>
    <t>OPERATING EXPENSES</t>
  </si>
  <si>
    <t>Advertising</t>
  </si>
  <si>
    <t>Cash discounts</t>
  </si>
  <si>
    <t>Delivery costs</t>
  </si>
  <si>
    <t>Dues and subscriptions</t>
  </si>
  <si>
    <t>Insurance</t>
  </si>
  <si>
    <t>Interest</t>
  </si>
  <si>
    <t>Legal and auditing</t>
  </si>
  <si>
    <t>Maintenance and repairs</t>
  </si>
  <si>
    <t>Office supplies</t>
  </si>
  <si>
    <t>Rent or mortgage</t>
  </si>
  <si>
    <t>Sales expenses</t>
  </si>
  <si>
    <t>Shipping and storage</t>
  </si>
  <si>
    <t>Supplies</t>
  </si>
  <si>
    <t>Taxes</t>
  </si>
  <si>
    <t>Telephone</t>
  </si>
  <si>
    <t>Utilities</t>
  </si>
  <si>
    <t>Other</t>
  </si>
  <si>
    <t>Total Operating Expenses</t>
  </si>
  <si>
    <t>XXXX LTD</t>
  </si>
  <si>
    <t>Salaries</t>
  </si>
  <si>
    <t>Staff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</si>
</sst>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mmmm\ yyyy"/>
    <numFmt numFmtId="166" formatCode="0.0%"/>
  </numFmts>
  <fonts count="21" x14ac:knownFonts="1">
    <font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theme="9" tint="-0.499984740745262"/>
      <name val="Verdana"/>
      <family val="2"/>
      <scheme val="minor"/>
    </font>
    <font>
      <sz val="11"/>
      <color rgb="FF6C0000"/>
      <name val="Verdana"/>
      <family val="2"/>
      <scheme val="minor"/>
    </font>
    <font>
      <sz val="36"/>
      <color theme="3"/>
      <name val="Constantia"/>
      <family val="2"/>
      <scheme val="major"/>
    </font>
    <font>
      <sz val="16"/>
      <color theme="3"/>
      <name val="Constantia"/>
      <family val="2"/>
      <scheme val="major"/>
    </font>
    <font>
      <sz val="11"/>
      <color theme="3"/>
      <name val="Constantia"/>
      <family val="2"/>
      <scheme val="major"/>
    </font>
    <font>
      <sz val="11"/>
      <color theme="1" tint="4.9989318521683403E-2"/>
      <name val="Constantia"/>
      <family val="2"/>
      <scheme val="major"/>
    </font>
    <font>
      <sz val="8"/>
      <name val="Verdana"/>
      <family val="2"/>
      <scheme val="minor"/>
    </font>
    <font>
      <sz val="12"/>
      <color theme="1"/>
      <name val="Verdana"/>
      <family val="2"/>
      <scheme val="minor"/>
    </font>
    <font>
      <sz val="56"/>
      <color theme="3"/>
      <name val="Verdana"/>
      <family val="2"/>
      <scheme val="minor"/>
    </font>
    <font>
      <sz val="12"/>
      <color theme="0"/>
      <name val="Verdana"/>
      <family val="2"/>
      <scheme val="minor"/>
    </font>
    <font>
      <sz val="12"/>
      <color theme="0" tint="-4.9989318521683403E-2"/>
      <name val="Verdana"/>
      <family val="2"/>
      <scheme val="minor"/>
    </font>
    <font>
      <sz val="56"/>
      <color theme="9"/>
      <name val="Constantia"/>
      <family val="1"/>
      <scheme val="major"/>
    </font>
    <font>
      <sz val="20"/>
      <color theme="9"/>
      <name val="Constantia"/>
      <family val="1"/>
      <scheme val="major"/>
    </font>
    <font>
      <sz val="12"/>
      <name val="Verdana"/>
      <family val="2"/>
      <scheme val="minor"/>
    </font>
    <font>
      <sz val="11"/>
      <color theme="1"/>
      <name val="Constantia"/>
      <family val="1"/>
      <scheme val="major"/>
    </font>
    <font>
      <sz val="11"/>
      <color theme="9"/>
      <name val="Constantia"/>
      <family val="1"/>
      <scheme val="major"/>
    </font>
    <font>
      <sz val="16"/>
      <color theme="9"/>
      <name val="Constantia"/>
      <family val="1"/>
      <scheme val="major"/>
    </font>
    <font>
      <sz val="48"/>
      <color theme="9"/>
      <name val="Constantia"/>
      <family val="1"/>
      <scheme val="major"/>
    </font>
    <font>
      <sz val="11"/>
      <color theme="0"/>
      <name val="Verdana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7" tint="0.79998168889431442"/>
      </left>
      <right/>
      <top/>
      <bottom style="thin">
        <color theme="7" tint="0.79998168889431442"/>
      </bottom>
      <diagonal/>
    </border>
    <border>
      <left/>
      <right/>
      <top/>
      <bottom style="thin">
        <color theme="7" tint="0.79998168889431442"/>
      </bottom>
      <diagonal/>
    </border>
    <border>
      <left/>
      <right style="thin">
        <color theme="7" tint="0.79998168889431442"/>
      </right>
      <top/>
      <bottom style="thin">
        <color theme="7" tint="0.79998168889431442"/>
      </bottom>
      <diagonal/>
    </border>
  </borders>
  <cellStyleXfs count="13">
    <xf numFmtId="0" fontId="0" fillId="0" borderId="0">
      <alignment horizontal="left" wrapText="1" indent="1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0" borderId="0" applyNumberFormat="0" applyFill="0" applyAlignment="0" applyProtection="0"/>
    <xf numFmtId="0" fontId="7" fillId="5" borderId="0" applyBorder="0" applyProtection="0">
      <alignment horizontal="left" vertical="center" indent="1"/>
    </xf>
    <xf numFmtId="0" fontId="7" fillId="5" borderId="0" applyNumberFormat="0" applyBorder="0" applyProtection="0">
      <alignment horizontal="left" vertical="center"/>
    </xf>
    <xf numFmtId="0" fontId="1" fillId="0" borderId="0" applyNumberFormat="0" applyFill="0" applyAlignment="0" applyProtection="0"/>
    <xf numFmtId="0" fontId="3" fillId="0" borderId="0" applyNumberFormat="0" applyFill="0" applyBorder="0" applyAlignment="0" applyProtection="0"/>
    <xf numFmtId="40" fontId="1" fillId="0" borderId="0" applyFont="0" applyFill="0" applyBorder="0" applyProtection="0">
      <alignment horizontal="right"/>
    </xf>
    <xf numFmtId="166" fontId="1" fillId="0" borderId="0" applyFont="0" applyFill="0" applyBorder="0" applyProtection="0">
      <alignment horizontal="right"/>
    </xf>
    <xf numFmtId="165" fontId="6" fillId="4" borderId="0" applyFill="0" applyBorder="0">
      <alignment horizontal="right"/>
    </xf>
  </cellStyleXfs>
  <cellXfs count="44">
    <xf numFmtId="0" fontId="0" fillId="0" borderId="0" xfId="0">
      <alignment horizontal="left" wrapText="1" indent="1"/>
    </xf>
    <xf numFmtId="0" fontId="9" fillId="7" borderId="0" xfId="0" applyFont="1" applyFill="1">
      <alignment horizontal="left" wrapText="1" indent="1"/>
    </xf>
    <xf numFmtId="0" fontId="9" fillId="0" borderId="0" xfId="0" applyFont="1">
      <alignment horizontal="left" wrapText="1" indent="1"/>
    </xf>
    <xf numFmtId="0" fontId="9" fillId="6" borderId="0" xfId="0" applyFont="1" applyFill="1">
      <alignment horizontal="left" wrapText="1" indent="1"/>
    </xf>
    <xf numFmtId="0" fontId="10" fillId="6" borderId="0" xfId="1" applyFont="1" applyFill="1" applyAlignment="1">
      <alignment horizontal="center"/>
    </xf>
    <xf numFmtId="0" fontId="9" fillId="6" borderId="0" xfId="0" applyFont="1" applyFill="1" applyAlignment="1">
      <alignment vertical="center"/>
    </xf>
    <xf numFmtId="0" fontId="9" fillId="8" borderId="0" xfId="0" applyFont="1" applyFill="1">
      <alignment horizontal="left" wrapText="1" indent="1"/>
    </xf>
    <xf numFmtId="40" fontId="15" fillId="6" borderId="0" xfId="4" applyNumberFormat="1" applyFont="1" applyFill="1"/>
    <xf numFmtId="0" fontId="16" fillId="0" borderId="0" xfId="0" applyFont="1">
      <alignment horizontal="left" wrapText="1" indent="1"/>
    </xf>
    <xf numFmtId="0" fontId="9" fillId="9" borderId="0" xfId="0" applyFont="1" applyFill="1">
      <alignment horizontal="left" wrapText="1" indent="1"/>
    </xf>
    <xf numFmtId="164" fontId="15" fillId="6" borderId="0" xfId="3" applyNumberFormat="1" applyFont="1" applyFill="1"/>
    <xf numFmtId="0" fontId="17" fillId="6" borderId="0" xfId="0" applyFont="1" applyFill="1" applyAlignment="1">
      <alignment horizontal="center" wrapText="1"/>
    </xf>
    <xf numFmtId="0" fontId="18" fillId="6" borderId="0" xfId="0" applyFont="1" applyFill="1" applyAlignment="1">
      <alignment horizontal="center"/>
    </xf>
    <xf numFmtId="0" fontId="13" fillId="6" borderId="0" xfId="1" applyFont="1" applyFill="1" applyAlignment="1"/>
    <xf numFmtId="0" fontId="9" fillId="10" borderId="0" xfId="0" applyFont="1" applyFill="1">
      <alignment horizontal="left" wrapText="1" indent="1"/>
    </xf>
    <xf numFmtId="0" fontId="15" fillId="6" borderId="0" xfId="3" applyFont="1" applyFill="1"/>
    <xf numFmtId="0" fontId="19" fillId="6" borderId="0" xfId="1" applyFont="1" applyFill="1" applyAlignment="1">
      <alignment horizontal="center"/>
    </xf>
    <xf numFmtId="0" fontId="9" fillId="0" borderId="0" xfId="0" applyFont="1" applyAlignment="1">
      <alignment vertical="center"/>
    </xf>
    <xf numFmtId="0" fontId="11" fillId="0" borderId="0" xfId="6" applyFont="1" applyFill="1" applyBorder="1">
      <alignment horizontal="left" vertical="center" indent="1"/>
    </xf>
    <xf numFmtId="0" fontId="0" fillId="6" borderId="0" xfId="0" applyFill="1">
      <alignment horizontal="left" wrapText="1" indent="1"/>
    </xf>
    <xf numFmtId="0" fontId="14" fillId="6" borderId="0" xfId="5" applyFont="1" applyFill="1" applyAlignment="1">
      <alignment horizontal="center"/>
    </xf>
    <xf numFmtId="0" fontId="13" fillId="6" borderId="0" xfId="1" applyFont="1" applyFill="1" applyAlignment="1">
      <alignment horizontal="center"/>
    </xf>
    <xf numFmtId="40" fontId="9" fillId="0" borderId="0" xfId="0" applyNumberFormat="1" applyFont="1" applyAlignment="1">
      <alignment horizontal="right" vertical="center" indent="1"/>
    </xf>
    <xf numFmtId="0" fontId="9" fillId="0" borderId="0" xfId="0" applyFont="1" applyAlignment="1">
      <alignment horizontal="left" vertical="center" wrapText="1" indent="1"/>
    </xf>
    <xf numFmtId="0" fontId="11" fillId="6" borderId="0" xfId="0" applyFont="1" applyFill="1" applyAlignment="1">
      <alignment vertical="center"/>
    </xf>
    <xf numFmtId="0" fontId="11" fillId="6" borderId="0" xfId="3" applyFont="1" applyFill="1" applyAlignment="1">
      <alignment vertical="center"/>
    </xf>
    <xf numFmtId="0" fontId="20" fillId="0" borderId="0" xfId="0" applyFont="1" applyAlignment="1">
      <alignment vertical="center"/>
    </xf>
    <xf numFmtId="40" fontId="9" fillId="8" borderId="0" xfId="0" applyNumberFormat="1" applyFont="1" applyFill="1" applyAlignment="1">
      <alignment horizontal="right" vertical="center" indent="1"/>
    </xf>
    <xf numFmtId="40" fontId="9" fillId="6" borderId="0" xfId="0" applyNumberFormat="1" applyFont="1" applyFill="1" applyAlignment="1">
      <alignment horizontal="right" vertical="center" indent="1"/>
    </xf>
    <xf numFmtId="40" fontId="11" fillId="0" borderId="0" xfId="7" applyNumberFormat="1" applyFont="1" applyFill="1" applyBorder="1" applyAlignment="1">
      <alignment horizontal="right" vertical="center" indent="1"/>
    </xf>
    <xf numFmtId="40" fontId="9" fillId="0" borderId="0" xfId="10" applyFont="1" applyFill="1" applyBorder="1" applyAlignment="1">
      <alignment horizontal="right" vertical="center" indent="1"/>
    </xf>
    <xf numFmtId="40" fontId="0" fillId="6" borderId="0" xfId="0" applyNumberFormat="1" applyFill="1" applyAlignment="1">
      <alignment horizontal="right" vertical="center" indent="1"/>
    </xf>
    <xf numFmtId="40" fontId="11" fillId="0" borderId="0" xfId="7" applyNumberFormat="1" applyFont="1" applyFill="1" applyBorder="1" applyAlignment="1">
      <alignment horizontal="right" vertical="center" indent="2"/>
    </xf>
    <xf numFmtId="40" fontId="9" fillId="9" borderId="0" xfId="0" applyNumberFormat="1" applyFont="1" applyFill="1" applyAlignment="1">
      <alignment horizontal="right" vertical="center" indent="1"/>
    </xf>
    <xf numFmtId="40" fontId="9" fillId="10" borderId="0" xfId="0" applyNumberFormat="1" applyFont="1" applyFill="1" applyAlignment="1">
      <alignment horizontal="right" vertical="center" indent="1"/>
    </xf>
    <xf numFmtId="40" fontId="9" fillId="7" borderId="0" xfId="0" applyNumberFormat="1" applyFont="1" applyFill="1" applyAlignment="1">
      <alignment horizontal="right" vertical="center" indent="1"/>
    </xf>
    <xf numFmtId="40" fontId="12" fillId="4" borderId="2" xfId="0" applyNumberFormat="1" applyFont="1" applyFill="1" applyBorder="1" applyAlignment="1">
      <alignment horizontal="right" vertical="center" indent="1"/>
    </xf>
    <xf numFmtId="40" fontId="12" fillId="4" borderId="3" xfId="0" applyNumberFormat="1" applyFont="1" applyFill="1" applyBorder="1" applyAlignment="1">
      <alignment horizontal="right" vertical="center" indent="1"/>
    </xf>
    <xf numFmtId="0" fontId="9" fillId="7" borderId="0" xfId="0" applyFont="1" applyFill="1" applyAlignment="1">
      <alignment horizontal="left" vertical="center" wrapText="1" indent="1"/>
    </xf>
    <xf numFmtId="0" fontId="9" fillId="6" borderId="0" xfId="0" applyFont="1" applyFill="1" applyAlignment="1">
      <alignment horizontal="left" vertical="center" wrapText="1" indent="1"/>
    </xf>
    <xf numFmtId="0" fontId="11" fillId="4" borderId="1" xfId="0" applyFont="1" applyFill="1" applyBorder="1" applyAlignment="1">
      <alignment horizontal="left" vertical="center" indent="1"/>
    </xf>
    <xf numFmtId="0" fontId="13" fillId="6" borderId="0" xfId="1" applyFont="1" applyFill="1" applyAlignment="1">
      <alignment horizontal="center"/>
    </xf>
    <xf numFmtId="0" fontId="14" fillId="6" borderId="0" xfId="5" applyFont="1" applyFill="1" applyAlignment="1">
      <alignment horizontal="center"/>
    </xf>
    <xf numFmtId="40" fontId="9" fillId="0" borderId="0" xfId="0" applyNumberFormat="1" applyFont="1" applyFill="1" applyBorder="1" applyAlignment="1">
      <alignment horizontal="right" vertical="center" indent="1"/>
    </xf>
  </cellXfs>
  <cellStyles count="13">
    <cellStyle name="20% - Accent5" xfId="4" builtinId="46"/>
    <cellStyle name="60% - Accent4" xfId="3" builtinId="44" customBuiltin="1"/>
    <cellStyle name="Comma" xfId="10" builtinId="3" customBuiltin="1"/>
    <cellStyle name="Date" xfId="12" xr:uid="{00000000-0005-0000-0000-000003000000}"/>
    <cellStyle name="Heading 1" xfId="5" builtinId="16" customBuiltin="1"/>
    <cellStyle name="Heading 2" xfId="6" builtinId="17" customBuiltin="1"/>
    <cellStyle name="Heading 3" xfId="7" builtinId="18" customBuiltin="1"/>
    <cellStyle name="Heading 4" xfId="2" builtinId="19" customBuiltin="1"/>
    <cellStyle name="Normal" xfId="0" builtinId="0" customBuiltin="1"/>
    <cellStyle name="Percent" xfId="11" builtinId="5" customBuiltin="1"/>
    <cellStyle name="Title" xfId="1" builtinId="15" customBuiltin="1"/>
    <cellStyle name="Total" xfId="8" builtinId="25" customBuiltin="1"/>
    <cellStyle name="Warning Text" xfId="9" builtinId="11" customBuiltin="1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8" formatCode="#,##0.00;[Red]\-#,##0.0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Verdana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  <numFmt numFmtId="167" formatCode="#,##0.00_);[Red]\(#,##0.00\)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Verdan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0"/>
        <name val="Verdana"/>
        <family val="2"/>
        <scheme val="minor"/>
      </font>
    </dxf>
    <dxf>
      <font>
        <strike val="0"/>
      </font>
      <fill>
        <patternFill>
          <fgColor theme="6" tint="0.79998168889431442"/>
          <bgColor theme="6" tint="0.79995117038483843"/>
        </patternFill>
      </fill>
    </dxf>
    <dxf>
      <font>
        <b val="0"/>
        <i val="0"/>
        <color theme="1"/>
      </font>
      <fill>
        <patternFill patternType="solid">
          <fgColor theme="6" tint="0.79998168889431442"/>
          <bgColor theme="6" tint="0.79995117038483843"/>
        </patternFill>
      </fill>
    </dxf>
    <dxf>
      <font>
        <b/>
        <i val="0"/>
        <color theme="0"/>
      </font>
      <fill>
        <patternFill patternType="solid">
          <fgColor theme="7" tint="-0.24994659260841701"/>
          <bgColor theme="7" tint="-0.24994659260841701"/>
        </patternFill>
      </fill>
      <border>
        <left style="thin">
          <color theme="7" tint="-0.24994659260841701"/>
        </left>
        <right style="thin">
          <color theme="7" tint="-0.24994659260841701"/>
        </right>
        <bottom style="thin">
          <color theme="7" tint="-0.24994659260841701"/>
        </bottom>
        <vertical style="thin">
          <color theme="7" tint="-0.24994659260841701"/>
        </vertical>
      </border>
    </dxf>
    <dxf>
      <font>
        <b val="0"/>
        <i val="0"/>
        <color theme="1"/>
      </font>
      <fill>
        <patternFill>
          <bgColor theme="0"/>
        </patternFill>
      </fill>
      <border>
        <left style="thin">
          <color theme="9" tint="0.89996032593768116"/>
        </left>
        <right style="thin">
          <color theme="9" tint="0.89992980742820516"/>
        </right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Monthly Budget" defaultPivotStyle="PivotStyleLight16">
    <tableStyle name="Monthly Budget" pivot="0" count="4" xr9:uid="{00000000-0011-0000-FFFF-FFFF00000000}">
      <tableStyleElement type="wholeTable" dxfId="47"/>
      <tableStyleElement type="headerRow" dxfId="46"/>
      <tableStyleElement type="totalRow" dxfId="45"/>
      <tableStyleElement type="lastColumn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baseline="0">
                <a:solidFill>
                  <a:schemeClr val="accent6"/>
                </a:solidFill>
                <a:latin typeface="+mn-lt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200" b="0" baseline="0">
                <a:solidFill>
                  <a:schemeClr val="accent6"/>
                </a:solidFill>
                <a:latin typeface="+mn-lt"/>
                <a:ea typeface="Verdana" panose="020B0604030504040204" pitchFamily="34" charset="0"/>
                <a:cs typeface="Verdana" panose="020B0604030504040204" pitchFamily="34" charset="0"/>
              </a:rPr>
              <a:t>BUDGET OVERVIEW</a:t>
            </a:r>
          </a:p>
        </c:rich>
      </c:tx>
      <c:layout>
        <c:manualLayout>
          <c:xMode val="edge"/>
          <c:yMode val="edge"/>
          <c:x val="0.4276842095105759"/>
          <c:y val="1.21406335835927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09871191904209E-2"/>
          <c:y val="0.25482049173763954"/>
          <c:w val="0.89316989550206227"/>
          <c:h val="0.665526298476191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budget summary'!$B$6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budget summary'!$C$5:$D$5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'Monthly budget summary'!$C$6:$D$6</c:f>
              <c:numCache>
                <c:formatCode>#,##0.00_);[Red]\(#,##0.00\)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5-4A55-9ED8-2FD455C5FA84}"/>
            </c:ext>
          </c:extLst>
        </c:ser>
        <c:ser>
          <c:idx val="1"/>
          <c:order val="1"/>
          <c:tx>
            <c:strRef>
              <c:f>'Monthly budget summary'!$B$7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'Monthly budget summary'!$C$5:$D$5</c:f>
              <c:strCache>
                <c:ptCount val="2"/>
                <c:pt idx="0">
                  <c:v>ESTIMATED</c:v>
                </c:pt>
                <c:pt idx="1">
                  <c:v>ACTUAL</c:v>
                </c:pt>
              </c:strCache>
            </c:strRef>
          </c:cat>
          <c:val>
            <c:numRef>
              <c:f>'Monthly budget summary'!$C$7:$D$7</c:f>
              <c:numCache>
                <c:formatCode>#,##0.00_);[Red]\(#,##0.00\)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5-4A55-9ED8-2FD455C5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42567104"/>
        <c:axId val="742571024"/>
      </c:barChart>
      <c:catAx>
        <c:axId val="742567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chemeClr val="bg1">
                <a:lumMod val="75000"/>
                <a:alpha val="25000"/>
              </a:schemeClr>
            </a:solidFill>
          </a:ln>
        </c:spPr>
        <c:txPr>
          <a:bodyPr/>
          <a:lstStyle/>
          <a:p>
            <a:pPr>
              <a:defRPr sz="1000" baseline="0">
                <a:solidFill>
                  <a:schemeClr val="tx1"/>
                </a:solidFill>
                <a:latin typeface="+mn-lt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742571024"/>
        <c:crosses val="autoZero"/>
        <c:auto val="1"/>
        <c:lblAlgn val="ctr"/>
        <c:lblOffset val="100"/>
        <c:noMultiLvlLbl val="0"/>
      </c:catAx>
      <c:valAx>
        <c:axId val="742571024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75000"/>
                  <a:alpha val="34000"/>
                </a:schemeClr>
              </a:solidFill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 w="3175">
            <a:noFill/>
          </a:ln>
        </c:spPr>
        <c:txPr>
          <a:bodyPr/>
          <a:lstStyle/>
          <a:p>
            <a:pPr>
              <a:defRPr sz="1000" baseline="0">
                <a:solidFill>
                  <a:schemeClr val="tx1"/>
                </a:solidFill>
                <a:latin typeface="+mn-lt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74256710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85000"/>
              <a:alpha val="7537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39516433148062369"/>
          <c:y val="9.6482024049319423E-2"/>
          <c:w val="0.20989941933420478"/>
          <c:h val="6.1405072993619622E-2"/>
        </c:manualLayout>
      </c:layout>
      <c:overlay val="0"/>
      <c:txPr>
        <a:bodyPr/>
        <a:lstStyle/>
        <a:p>
          <a:pPr>
            <a:defRPr sz="1000" baseline="0">
              <a:solidFill>
                <a:schemeClr val="accent6"/>
              </a:solidFill>
              <a:latin typeface="+mn-lt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254000</xdr:colOff>
      <xdr:row>9</xdr:row>
      <xdr:rowOff>127000</xdr:rowOff>
    </xdr:from>
    <xdr:to>
      <xdr:col>4</xdr:col>
      <xdr:colOff>2075180</xdr:colOff>
      <xdr:row>9</xdr:row>
      <xdr:rowOff>3403600</xdr:rowOff>
    </xdr:to>
    <xdr:graphicFrame macro="">
      <xdr:nvGraphicFramePr>
        <xdr:cNvPr id="3" name="BudgetOverview" descr="Bar overview chart showing estimated versus actual income and expens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otals" displayName="Totals" ref="B5:E8" totalsRowCount="1" headerRowDxfId="43" dataDxfId="42" totalsRowDxfId="41">
  <autoFilter ref="B5:E7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BUDGET TOTALS" totalsRowLabel="Balance (income minus expenses)" dataDxfId="40" totalsRowDxfId="3"/>
    <tableColumn id="2" xr3:uid="{00000000-0010-0000-0000-000002000000}" name="ESTIMATED" totalsRowFunction="custom" dataDxfId="39" totalsRowDxfId="2" totalsRowCellStyle="Comma">
      <totalsRowFormula>C6-C7</totalsRowFormula>
    </tableColumn>
    <tableColumn id="3" xr3:uid="{00000000-0010-0000-0000-000003000000}" name="ACTUAL" totalsRowFunction="custom" dataDxfId="38" totalsRowDxfId="1" totalsRowCellStyle="Comma">
      <totalsRowFormula>D6-D7</totalsRowFormula>
    </tableColumn>
    <tableColumn id="4" xr3:uid="{00000000-0010-0000-0000-000004000000}" name="DIFFERENCE" totalsRowFunction="custom" dataDxfId="37" totalsRowDxfId="0" totalsRowCellStyle="Comma">
      <calculatedColumnFormula>Totals[[#This Row],[ACTUAL]]-Totals[[#This Row],[ESTIMATED]]</calculatedColumnFormula>
      <totalsRowFormula>Totals[[#Totals],[ACTUAL]]-Totals[[#Totals],[ESTIMATED]]</totalsRowFormula>
    </tableColumn>
  </tableColumns>
  <tableStyleInfo name="Monthly Budget" showFirstColumn="0" showLastColumn="1" showRowStripes="0" showColumnStripes="0"/>
  <extLst>
    <ext xmlns:x14="http://schemas.microsoft.com/office/spreadsheetml/2009/9/main" uri="{504A1905-F514-4f6f-8877-14C23A59335A}">
      <x14:table altTextSummary="Budget Totals, Estimated and Actual Income and Expenses, and Difference is automatically updated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ome" displayName="Income" ref="B5:E9" totalsRowCount="1" headerRowDxfId="36" dataDxfId="35" totalsRowDxfId="34">
  <autoFilter ref="B5:E8" xr:uid="{00000000-0009-0000-0100-000003000000}"/>
  <tableColumns count="4">
    <tableColumn id="1" xr3:uid="{00000000-0010-0000-0200-000001000000}" name="INCOME" totalsRowLabel="Total Income" dataDxfId="33" totalsRowDxfId="7"/>
    <tableColumn id="2" xr3:uid="{00000000-0010-0000-0200-000002000000}" name="ESTIMATED" totalsRowFunction="sum" dataDxfId="32" totalsRowDxfId="6"/>
    <tableColumn id="3" xr3:uid="{00000000-0010-0000-0200-000003000000}" name="ACTUAL" totalsRowFunction="sum" dataDxfId="31" totalsRowDxfId="5"/>
    <tableColumn id="4" xr3:uid="{00000000-0010-0000-0200-000004000000}" name="DIFFERENCE" totalsRowFunction="sum" dataDxfId="30" totalsRowDxfId="4">
      <calculatedColumnFormula>Income[[#This Row],[ACTUAL]]-Income[[#This Row],[ESTIMATED]]</calculatedColumnFormula>
    </tableColumn>
  </tableColumns>
  <tableStyleInfo name="Monthly Budget" showFirstColumn="0" showLastColumn="1" showRowStripes="0" showColumnStripes="0"/>
  <extLst>
    <ext xmlns:x14="http://schemas.microsoft.com/office/spreadsheetml/2009/9/main" uri="{504A1905-F514-4f6f-8877-14C23A59335A}">
      <x14:table altTextSummary="Enter Monthly Income, Estimated, and Actual values in this table. Difference is automatically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PersonnelExpenses" displayName="PersonnelExpenses" ref="B5:E9" totalsRowCount="1" headerRowDxfId="29" dataDxfId="28" totalsRowDxfId="27">
  <autoFilter ref="B5:E8" xr:uid="{00000000-0009-0000-0100-000007000000}"/>
  <tableColumns count="4">
    <tableColumn id="1" xr3:uid="{00000000-0010-0000-0300-000001000000}" name="PERSONNEL EXPENSES" totalsRowLabel="Total Personnel Expenses" dataDxfId="26" totalsRowDxfId="11"/>
    <tableColumn id="2" xr3:uid="{00000000-0010-0000-0300-000002000000}" name="ESTIMATED" totalsRowFunction="sum" dataDxfId="25" totalsRowDxfId="10"/>
    <tableColumn id="3" xr3:uid="{00000000-0010-0000-0300-000003000000}" name="ACTUAL" totalsRowFunction="sum" dataDxfId="24" totalsRowDxfId="9"/>
    <tableColumn id="5" xr3:uid="{00000000-0010-0000-0300-000005000000}" name="DIFFERENCE" totalsRowFunction="sum" dataDxfId="23" totalsRowDxfId="8">
      <calculatedColumnFormula>PersonnelExpenses[[#This Row],[ESTIMATED]]-PersonnelExpenses[[#This Row],[ACTUAL]]</calculatedColumnFormula>
    </tableColumn>
  </tableColumns>
  <tableStyleInfo name="Monthly Budget" showFirstColumn="0" showLastColumn="1" showRowStripes="0" showColumnStripes="0"/>
  <extLst>
    <ext xmlns:x14="http://schemas.microsoft.com/office/spreadsheetml/2009/9/main" uri="{504A1905-F514-4f6f-8877-14C23A59335A}">
      <x14:table altTextSummary="Enter Personnel Expenses, Estimated and Actual values in this table. Difference is automatically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4000000}" name="OperatingExpenses" displayName="OperatingExpenses" ref="B5:E23" totalsRowCount="1" headerRowDxfId="22" dataDxfId="21" totalsRowDxfId="20">
  <autoFilter ref="B5:E22" xr:uid="{00000000-0009-0000-0100-000009000000}"/>
  <sortState xmlns:xlrd2="http://schemas.microsoft.com/office/spreadsheetml/2017/richdata2" ref="B11:E30">
    <sortCondition ref="B15:B35"/>
  </sortState>
  <tableColumns count="4">
    <tableColumn id="1" xr3:uid="{00000000-0010-0000-0400-000001000000}" name="OPERATING EXPENSES" totalsRowLabel="Total Operating Expenses" dataDxfId="19" totalsRowDxfId="15"/>
    <tableColumn id="2" xr3:uid="{00000000-0010-0000-0400-000002000000}" name="ESTIMATED" totalsRowFunction="sum" dataDxfId="18" totalsRowDxfId="14"/>
    <tableColumn id="3" xr3:uid="{00000000-0010-0000-0400-000003000000}" name="ACTUAL" totalsRowFunction="sum" dataDxfId="17" totalsRowDxfId="13"/>
    <tableColumn id="4" xr3:uid="{00000000-0010-0000-0400-000004000000}" name="DIFFERENCE" totalsRowFunction="sum" dataDxfId="16" totalsRowDxfId="12">
      <calculatedColumnFormula>OperatingExpenses[[#This Row],[ESTIMATED]]-OperatingExpenses[[#This Row],[ACTUAL]]</calculatedColumnFormula>
    </tableColumn>
  </tableColumns>
  <tableStyleInfo name="Monthly Budget" showFirstColumn="0" showLastColumn="1" showRowStripes="0" showColumnStripes="0"/>
  <extLst>
    <ext xmlns:x14="http://schemas.microsoft.com/office/spreadsheetml/2009/9/main" uri="{504A1905-F514-4f6f-8877-14C23A59335A}">
      <x14:table altTextSummary="Enter Operating Expenses, Estimated and Actual values in this table. Difference is automatically calculated"/>
    </ext>
  </extLst>
</table>
</file>

<file path=xl/theme/theme1.xml><?xml version="1.0" encoding="utf-8"?>
<a:theme xmlns:a="http://schemas.openxmlformats.org/drawingml/2006/main" name="Thatch">
  <a:themeElements>
    <a:clrScheme name="TM03458075">
      <a:dk1>
        <a:srgbClr val="000000"/>
      </a:dk1>
      <a:lt1>
        <a:srgbClr val="FFFFFF"/>
      </a:lt1>
      <a:dk2>
        <a:srgbClr val="E7E4AF"/>
      </a:dk2>
      <a:lt2>
        <a:srgbClr val="E7E6E6"/>
      </a:lt2>
      <a:accent1>
        <a:srgbClr val="F6D548"/>
      </a:accent1>
      <a:accent2>
        <a:srgbClr val="E8C665"/>
      </a:accent2>
      <a:accent3>
        <a:srgbClr val="E7AE30"/>
      </a:accent3>
      <a:accent4>
        <a:srgbClr val="3261AC"/>
      </a:accent4>
      <a:accent5>
        <a:srgbClr val="162E64"/>
      </a:accent5>
      <a:accent6>
        <a:srgbClr val="0E2043"/>
      </a:accent6>
      <a:hlink>
        <a:srgbClr val="0563C1"/>
      </a:hlink>
      <a:folHlink>
        <a:srgbClr val="954F72"/>
      </a:folHlink>
    </a:clrScheme>
    <a:fontScheme name="Custom 15">
      <a:majorFont>
        <a:latin typeface="Constantia"/>
        <a:ea typeface=""/>
        <a:cs typeface=""/>
      </a:majorFont>
      <a:minorFont>
        <a:latin typeface="Verdana"/>
        <a:ea typeface=""/>
        <a:cs typeface=""/>
      </a:minorFont>
    </a:fontScheme>
    <a:fmtScheme name="Thatch">
      <a:fillStyleLst>
        <a:solidFill>
          <a:schemeClr val="phClr"/>
        </a:solidFill>
        <a:gradFill rotWithShape="1">
          <a:gsLst>
            <a:gs pos="0">
              <a:schemeClr val="phClr">
                <a:tint val="79000"/>
                <a:satMod val="180000"/>
              </a:schemeClr>
            </a:gs>
            <a:gs pos="65000">
              <a:schemeClr val="phClr">
                <a:tint val="52000"/>
                <a:satMod val="250000"/>
              </a:schemeClr>
            </a:gs>
            <a:gs pos="100000">
              <a:schemeClr val="phClr">
                <a:tint val="29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  <a:scene3d>
            <a:camera prst="orthographicFront">
              <a:rot lat="0" lon="0" rev="0"/>
            </a:camera>
            <a:lightRig rig="brightRoom" dir="t">
              <a:rot lat="0" lon="0" rev="8700000"/>
            </a:lightRig>
          </a:scene3d>
          <a:sp3d contourW="12700" prstMaterial="dkEdge">
            <a:bevelT w="0" h="0" prst="relaxedInset"/>
            <a:contourClr>
              <a:schemeClr val="phClr">
                <a:shade val="65000"/>
                <a:satMod val="15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13200000"/>
            </a:lightRig>
          </a:scene3d>
          <a:sp3d prstMaterial="dkEdge">
            <a:bevelT w="63500" h="50800" prst="relaxedIns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5000"/>
                <a:shade val="95000"/>
                <a:satMod val="200000"/>
              </a:schemeClr>
            </a:gs>
            <a:gs pos="53000">
              <a:schemeClr val="phClr">
                <a:shade val="60000"/>
                <a:satMod val="220000"/>
              </a:schemeClr>
            </a:gs>
            <a:gs pos="100000">
              <a:schemeClr val="phClr">
                <a:shade val="45000"/>
                <a:satMod val="22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3000"/>
                <a:shade val="97000"/>
                <a:satMod val="230000"/>
              </a:schemeClr>
            </a:gs>
            <a:gs pos="100000">
              <a:schemeClr val="phClr">
                <a:shade val="35000"/>
                <a:satMod val="250000"/>
              </a:schemeClr>
            </a:gs>
          </a:gsLst>
          <a:path path="circle">
            <a:fillToRect l="15000" t="50000" r="85000" b="6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 tint="0.79998168889431442"/>
    <pageSetUpPr autoPageBreaks="0" fitToPage="1"/>
  </sheetPr>
  <dimension ref="A1:F432"/>
  <sheetViews>
    <sheetView showGridLines="0" tabSelected="1" zoomScaleNormal="100" workbookViewId="0">
      <selection activeCell="D8" sqref="D8"/>
    </sheetView>
  </sheetViews>
  <sheetFormatPr defaultColWidth="9.08984375" defaultRowHeight="16.5" customHeight="1" x14ac:dyDescent="0.3"/>
  <cols>
    <col min="1" max="1" width="3.453125" style="3" customWidth="1"/>
    <col min="2" max="2" width="30.1796875" style="39" customWidth="1"/>
    <col min="3" max="5" width="27" style="28" customWidth="1"/>
    <col min="6" max="6" width="3.453125" style="3" customWidth="1"/>
    <col min="7" max="7" width="4.1796875" style="2" customWidth="1"/>
    <col min="8" max="16384" width="9.08984375" style="2"/>
  </cols>
  <sheetData>
    <row r="1" spans="1:6" ht="12" customHeight="1" x14ac:dyDescent="0.3">
      <c r="A1" s="1"/>
      <c r="B1" s="38"/>
      <c r="C1" s="35"/>
      <c r="D1" s="35"/>
      <c r="E1" s="35"/>
      <c r="F1" s="1"/>
    </row>
    <row r="2" spans="1:6" ht="60" customHeight="1" x14ac:dyDescent="0.5">
      <c r="B2" s="42" t="s">
        <v>35</v>
      </c>
      <c r="C2" s="42"/>
      <c r="D2" s="42"/>
      <c r="E2" s="42"/>
      <c r="F2" s="20"/>
    </row>
    <row r="3" spans="1:6" ht="80.099999999999994" customHeight="1" x14ac:dyDescent="1.3">
      <c r="B3" s="41" t="s">
        <v>0</v>
      </c>
      <c r="C3" s="41"/>
      <c r="D3" s="41"/>
      <c r="E3" s="41"/>
      <c r="F3" s="4"/>
    </row>
    <row r="4" spans="1:6" ht="30" customHeight="1" x14ac:dyDescent="0.3"/>
    <row r="5" spans="1:6" s="17" customFormat="1" ht="30" customHeight="1" x14ac:dyDescent="0.25">
      <c r="A5" s="5"/>
      <c r="B5" s="18" t="s">
        <v>1</v>
      </c>
      <c r="C5" s="29" t="s">
        <v>2</v>
      </c>
      <c r="D5" s="29" t="s">
        <v>3</v>
      </c>
      <c r="E5" s="29" t="s">
        <v>4</v>
      </c>
      <c r="F5" s="5"/>
    </row>
    <row r="6" spans="1:6" ht="30" customHeight="1" x14ac:dyDescent="0.3">
      <c r="B6" s="23" t="s">
        <v>5</v>
      </c>
      <c r="C6" s="30">
        <f>Income[[#Totals],[ESTIMATED]]</f>
        <v>0</v>
      </c>
      <c r="D6" s="30">
        <f>Income[[#Totals],[ACTUAL]]</f>
        <v>0</v>
      </c>
      <c r="E6" s="30">
        <f>Totals[[#This Row],[ACTUAL]]-Totals[[#This Row],[ESTIMATED]]</f>
        <v>0</v>
      </c>
    </row>
    <row r="7" spans="1:6" ht="30" customHeight="1" x14ac:dyDescent="0.3">
      <c r="B7" s="23" t="s">
        <v>6</v>
      </c>
      <c r="C7" s="30">
        <f>OperatingExpenses[[#Totals],[ESTIMATED]]+PersonnelExpenses[[#Totals],[ESTIMATED]]</f>
        <v>0</v>
      </c>
      <c r="D7" s="30">
        <f>OperatingExpenses[[#Totals],[ACTUAL]]+PersonnelExpenses[[#Totals],[ACTUAL]]</f>
        <v>0</v>
      </c>
      <c r="E7" s="30">
        <f>Totals[[#This Row],[ACTUAL]]-Totals[[#This Row],[ESTIMATED]]</f>
        <v>0</v>
      </c>
    </row>
    <row r="8" spans="1:6" ht="30" customHeight="1" x14ac:dyDescent="0.3">
      <c r="B8" s="23" t="s">
        <v>7</v>
      </c>
      <c r="C8" s="43">
        <f>C6-C7</f>
        <v>0</v>
      </c>
      <c r="D8" s="43">
        <f>D6-D7</f>
        <v>0</v>
      </c>
      <c r="E8" s="43">
        <f>Totals[[#Totals],[ACTUAL]]-Totals[[#Totals],[ESTIMATED]]</f>
        <v>0</v>
      </c>
    </row>
    <row r="9" spans="1:6" ht="30" customHeight="1" x14ac:dyDescent="0.3"/>
    <row r="10" spans="1:6" ht="281.10000000000002" customHeight="1" x14ac:dyDescent="0.3">
      <c r="B10" s="40"/>
      <c r="C10" s="36"/>
      <c r="D10" s="36"/>
      <c r="E10" s="37"/>
    </row>
    <row r="11" spans="1:6" ht="30" customHeight="1" x14ac:dyDescent="0.3"/>
    <row r="12" spans="1:6" ht="30" customHeight="1" x14ac:dyDescent="0.3"/>
    <row r="13" spans="1:6" ht="30" customHeight="1" x14ac:dyDescent="0.3"/>
    <row r="14" spans="1:6" ht="30" customHeight="1" x14ac:dyDescent="0.3"/>
    <row r="15" spans="1:6" ht="30" customHeight="1" x14ac:dyDescent="0.3"/>
    <row r="16" spans="1:6" ht="30" customHeight="1" x14ac:dyDescent="0.3"/>
    <row r="17" ht="30" customHeight="1" x14ac:dyDescent="0.3"/>
    <row r="18" ht="30" customHeight="1" x14ac:dyDescent="0.3"/>
    <row r="19" ht="30" customHeight="1" x14ac:dyDescent="0.3"/>
    <row r="20" ht="30" customHeight="1" x14ac:dyDescent="0.3"/>
    <row r="21" ht="30" customHeight="1" x14ac:dyDescent="0.3"/>
    <row r="22" ht="30" customHeight="1" x14ac:dyDescent="0.3"/>
    <row r="23" ht="30" customHeight="1" x14ac:dyDescent="0.3"/>
    <row r="24" ht="30" customHeight="1" x14ac:dyDescent="0.3"/>
    <row r="25" ht="30" customHeight="1" x14ac:dyDescent="0.3"/>
    <row r="26" ht="30" customHeight="1" x14ac:dyDescent="0.3"/>
    <row r="27" ht="30" customHeight="1" x14ac:dyDescent="0.3"/>
    <row r="28" ht="30" customHeight="1" x14ac:dyDescent="0.3"/>
    <row r="29" ht="30" customHeight="1" x14ac:dyDescent="0.3"/>
    <row r="30" ht="30" customHeight="1" x14ac:dyDescent="0.3"/>
    <row r="31" ht="30" customHeight="1" x14ac:dyDescent="0.3"/>
    <row r="32" ht="30" customHeight="1" x14ac:dyDescent="0.3"/>
    <row r="33" ht="30" customHeight="1" x14ac:dyDescent="0.3"/>
    <row r="34" ht="30" customHeight="1" x14ac:dyDescent="0.3"/>
    <row r="35" ht="30" customHeight="1" x14ac:dyDescent="0.3"/>
    <row r="36" ht="30" customHeight="1" x14ac:dyDescent="0.3"/>
    <row r="37" ht="30" customHeight="1" x14ac:dyDescent="0.3"/>
    <row r="38" ht="30" customHeight="1" x14ac:dyDescent="0.3"/>
    <row r="39" ht="30" customHeight="1" x14ac:dyDescent="0.3"/>
    <row r="40" ht="30" customHeight="1" x14ac:dyDescent="0.3"/>
    <row r="41" ht="30" customHeight="1" x14ac:dyDescent="0.3"/>
    <row r="42" ht="30" customHeight="1" x14ac:dyDescent="0.3"/>
    <row r="43" ht="30" customHeight="1" x14ac:dyDescent="0.3"/>
    <row r="44" ht="30" customHeight="1" x14ac:dyDescent="0.3"/>
    <row r="45" ht="30" customHeight="1" x14ac:dyDescent="0.3"/>
    <row r="46" ht="30" customHeight="1" x14ac:dyDescent="0.3"/>
    <row r="47" ht="30" customHeight="1" x14ac:dyDescent="0.3"/>
    <row r="48" ht="30" customHeight="1" x14ac:dyDescent="0.3"/>
    <row r="49" ht="30" customHeight="1" x14ac:dyDescent="0.3"/>
    <row r="50" ht="30" customHeight="1" x14ac:dyDescent="0.3"/>
    <row r="51" ht="30" customHeight="1" x14ac:dyDescent="0.3"/>
    <row r="52" ht="30" customHeight="1" x14ac:dyDescent="0.3"/>
    <row r="53" ht="30" customHeight="1" x14ac:dyDescent="0.3"/>
    <row r="54" ht="30" customHeight="1" x14ac:dyDescent="0.3"/>
    <row r="55" ht="30" customHeight="1" x14ac:dyDescent="0.3"/>
    <row r="56" ht="30" customHeight="1" x14ac:dyDescent="0.3"/>
    <row r="57" ht="30" customHeight="1" x14ac:dyDescent="0.3"/>
    <row r="58" ht="30" customHeight="1" x14ac:dyDescent="0.3"/>
    <row r="59" ht="30" customHeight="1" x14ac:dyDescent="0.3"/>
    <row r="60" ht="30" customHeight="1" x14ac:dyDescent="0.3"/>
    <row r="61" ht="30" customHeight="1" x14ac:dyDescent="0.3"/>
    <row r="62" ht="30" customHeight="1" x14ac:dyDescent="0.3"/>
    <row r="63" ht="30" customHeight="1" x14ac:dyDescent="0.3"/>
    <row r="64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</sheetData>
  <sheetProtection insertColumns="0" insertRows="0" deleteColumns="0" deleteRows="0" selectLockedCells="1" autoFilter="0"/>
  <mergeCells count="2">
    <mergeCell ref="B3:E3"/>
    <mergeCell ref="B2:E2"/>
  </mergeCells>
  <dataValidations count="8">
    <dataValidation allowBlank="1" showInputMessage="1" showErrorMessage="1" prompt="Create a Monthly Business Budget in this workbook. Overview is in this worksheet. Enter Income details in Monthly Income, Personnel, and Operating Expenses in respective worksheets" sqref="A1" xr:uid="{00000000-0002-0000-0000-000006000000}"/>
    <dataValidation allowBlank="1" showInputMessage="1" showErrorMessage="1" prompt="Enter Company Name in this cell" sqref="B2" xr:uid="{00000000-0002-0000-0000-000007000000}"/>
    <dataValidation allowBlank="1" showInputMessage="1" showErrorMessage="1" prompt="Budget Totals for Income &amp; Expenses, both estimated &amp; actual, are automatically calculated from amounts entered in other worksheets. Balance &amp; Difference are automatically adjusted" sqref="B5" xr:uid="{00000000-0002-0000-0000-000009000000}"/>
    <dataValidation allowBlank="1" showInputMessage="1" showErrorMessage="1" prompt="Estimated totals are automatically calculated in this column under this heading" sqref="C5" xr:uid="{00000000-0002-0000-0000-00000A000000}"/>
    <dataValidation allowBlank="1" showInputMessage="1" showErrorMessage="1" prompt="Actual totals are automatically calculated in this column under this heading" sqref="D5" xr:uid="{00000000-0002-0000-0000-00000B000000}"/>
    <dataValidation allowBlank="1" showInputMessage="1" showErrorMessage="1" prompt="Difference of Estimated and Actual Totals is automatically calculated in this column under this heading" sqref="E5" xr:uid="{00000000-0002-0000-0000-00000C000000}"/>
    <dataValidation allowBlank="1" showInputMessage="1" showErrorMessage="1" prompt="Budget Overview chart is in this cell. Top 5 Operating Expenses are automatically updated in Top5Expenses table, below." sqref="B10" xr:uid="{6D8844C3-D2C4-41A8-9632-7791388B6264}"/>
    <dataValidation allowBlank="1" showInputMessage="1" showErrorMessage="1" prompt="Title of this worksheet is in this cell. Budget Totals are automatically calculated in Totals table starting in cell B5." sqref="B3" xr:uid="{AF0C6235-6B33-4558-A170-37F3CB5F71A0}"/>
  </dataValidations>
  <printOptions horizontalCentered="1"/>
  <pageMargins left="0.25" right="0.25" top="0.75" bottom="0.75" header="0.3" footer="0.3"/>
  <pageSetup fitToHeight="0" orientation="portrait" r:id="rId1"/>
  <headerFooter differentFirst="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autoPageBreaks="0" fitToPage="1"/>
  </sheetPr>
  <dimension ref="A1:F9"/>
  <sheetViews>
    <sheetView showGridLines="0" zoomScaleNormal="100" workbookViewId="0">
      <selection activeCell="C7" sqref="C7"/>
    </sheetView>
  </sheetViews>
  <sheetFormatPr defaultColWidth="9.08984375" defaultRowHeight="30" customHeight="1" x14ac:dyDescent="0.25"/>
  <cols>
    <col min="1" max="1" width="3.453125" style="19" customWidth="1"/>
    <col min="2" max="2" width="30.1796875" style="19" customWidth="1"/>
    <col min="3" max="5" width="20.26953125" style="31" customWidth="1"/>
    <col min="6" max="6" width="3.453125" style="19" customWidth="1"/>
    <col min="7" max="7" width="4.1796875" customWidth="1"/>
  </cols>
  <sheetData>
    <row r="1" spans="1:6" s="2" customFormat="1" ht="12" customHeight="1" x14ac:dyDescent="0.3">
      <c r="A1" s="6"/>
      <c r="B1" s="6"/>
      <c r="C1" s="27"/>
      <c r="D1" s="27"/>
      <c r="E1" s="27"/>
      <c r="F1" s="6"/>
    </row>
    <row r="2" spans="1:6" s="8" customFormat="1" ht="60" customHeight="1" x14ac:dyDescent="0.5">
      <c r="A2" s="20"/>
      <c r="B2" s="42" t="str">
        <f>COMPANY_NAME</f>
        <v>XXXX LTD</v>
      </c>
      <c r="C2" s="42"/>
      <c r="D2" s="42"/>
      <c r="E2" s="42"/>
      <c r="F2" s="20"/>
    </row>
    <row r="3" spans="1:6" s="8" customFormat="1" ht="80.099999999999994" customHeight="1" x14ac:dyDescent="1.3">
      <c r="A3" s="21"/>
      <c r="B3" s="41" t="s">
        <v>8</v>
      </c>
      <c r="C3" s="41"/>
      <c r="D3" s="41"/>
      <c r="E3" s="41"/>
      <c r="F3" s="21"/>
    </row>
    <row r="4" spans="1:6" ht="30" customHeight="1" x14ac:dyDescent="0.3">
      <c r="A4" s="3"/>
      <c r="B4" s="3"/>
      <c r="C4" s="28"/>
      <c r="D4" s="28"/>
      <c r="E4" s="28"/>
      <c r="F4" s="3"/>
    </row>
    <row r="5" spans="1:6" s="26" customFormat="1" ht="30" customHeight="1" x14ac:dyDescent="0.25">
      <c r="A5" s="24"/>
      <c r="B5" s="18" t="s">
        <v>8</v>
      </c>
      <c r="C5" s="32" t="s">
        <v>2</v>
      </c>
      <c r="D5" s="32" t="s">
        <v>3</v>
      </c>
      <c r="E5" s="32" t="s">
        <v>4</v>
      </c>
      <c r="F5" s="25"/>
    </row>
    <row r="6" spans="1:6" ht="30" customHeight="1" x14ac:dyDescent="0.3">
      <c r="A6" s="3"/>
      <c r="B6" s="23" t="s">
        <v>9</v>
      </c>
      <c r="C6" s="30"/>
      <c r="D6" s="30"/>
      <c r="E6" s="30">
        <f>Income[[#This Row],[ACTUAL]]-Income[[#This Row],[ESTIMATED]]</f>
        <v>0</v>
      </c>
      <c r="F6" s="7"/>
    </row>
    <row r="7" spans="1:6" ht="30" customHeight="1" x14ac:dyDescent="0.3">
      <c r="A7" s="3"/>
      <c r="B7" s="23" t="s">
        <v>10</v>
      </c>
      <c r="C7" s="30"/>
      <c r="D7" s="30"/>
      <c r="E7" s="30">
        <f>Income[[#This Row],[ACTUAL]]-Income[[#This Row],[ESTIMATED]]</f>
        <v>0</v>
      </c>
      <c r="F7" s="7"/>
    </row>
    <row r="8" spans="1:6" ht="30" customHeight="1" x14ac:dyDescent="0.3">
      <c r="A8" s="3"/>
      <c r="B8" s="23" t="s">
        <v>11</v>
      </c>
      <c r="C8" s="30"/>
      <c r="D8" s="30"/>
      <c r="E8" s="30">
        <f>Income[[#This Row],[ACTUAL]]-Income[[#This Row],[ESTIMATED]]</f>
        <v>0</v>
      </c>
      <c r="F8" s="7"/>
    </row>
    <row r="9" spans="1:6" ht="30" customHeight="1" x14ac:dyDescent="0.25">
      <c r="B9" s="23" t="s">
        <v>12</v>
      </c>
      <c r="C9" s="22">
        <f>SUBTOTAL(109,Income[ESTIMATED])</f>
        <v>0</v>
      </c>
      <c r="D9" s="22">
        <f>SUBTOTAL(109,Income[ACTUAL])</f>
        <v>0</v>
      </c>
      <c r="E9" s="22">
        <f>SUBTOTAL(109,Income[DIFFERENCE])</f>
        <v>0</v>
      </c>
    </row>
  </sheetData>
  <sheetProtection insertColumns="0" insertRows="0" deleteColumns="0" deleteRows="0" selectLockedCells="1" autoFilter="0"/>
  <dataConsolidate/>
  <mergeCells count="2">
    <mergeCell ref="B3:E3"/>
    <mergeCell ref="B2:E2"/>
  </mergeCells>
  <phoneticPr fontId="8" type="noConversion"/>
  <dataValidations count="6">
    <dataValidation allowBlank="1" showInputMessage="1" showErrorMessage="1" prompt="Company Name is automatically updated in this cell" sqref="B2" xr:uid="{00000000-0002-0000-0100-000003000000}"/>
    <dataValidation allowBlank="1" showInputMessage="1" showErrorMessage="1" prompt="Enter Income details in this column under this heading. Use heading filters to find specific entries" sqref="B5" xr:uid="{00000000-0002-0000-0100-000005000000}"/>
    <dataValidation allowBlank="1" showInputMessage="1" showErrorMessage="1" prompt="Enter Estimated amount in this column under this heading" sqref="C5" xr:uid="{00000000-0002-0000-0100-000006000000}"/>
    <dataValidation allowBlank="1" showInputMessage="1" showErrorMessage="1" prompt="Enter Actual amount in this column under this heading" sqref="D5" xr:uid="{00000000-0002-0000-0100-000007000000}"/>
    <dataValidation allowBlank="1" showInputMessage="1" showErrorMessage="1" prompt="Difference of Estimated and Actual Income is automatically calculated in this column under this heading" sqref="E5" xr:uid="{00000000-0002-0000-0100-000008000000}"/>
    <dataValidation allowBlank="1" showInputMessage="1" showErrorMessage="1" prompt="Enter Monthly Income details in table below" sqref="A1" xr:uid="{83F9C801-CF16-46A6-8C5E-A7E63DF43E62}"/>
  </dataValidations>
  <printOptions horizontalCentered="1"/>
  <pageMargins left="0.25" right="0.25" top="0.75" bottom="0.75" header="0.3" footer="0.3"/>
  <pageSetup fitToHeight="0" orientation="portrait" r:id="rId1"/>
  <headerFooter differentFirst="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  <pageSetUpPr autoPageBreaks="0" fitToPage="1"/>
  </sheetPr>
  <dimension ref="A1:F9"/>
  <sheetViews>
    <sheetView showGridLines="0" zoomScaleNormal="100" workbookViewId="0">
      <selection activeCell="E6" sqref="E6"/>
    </sheetView>
  </sheetViews>
  <sheetFormatPr defaultColWidth="9.08984375" defaultRowHeight="30" customHeight="1" x14ac:dyDescent="0.25"/>
  <cols>
    <col min="1" max="1" width="3.453125" style="19" customWidth="1"/>
    <col min="2" max="2" width="30.1796875" style="19" customWidth="1"/>
    <col min="3" max="5" width="20.26953125" style="31" customWidth="1"/>
    <col min="6" max="6" width="3.453125" style="19" customWidth="1"/>
    <col min="7" max="7" width="4.1796875" customWidth="1"/>
  </cols>
  <sheetData>
    <row r="1" spans="1:6" s="2" customFormat="1" ht="12" customHeight="1" x14ac:dyDescent="0.3">
      <c r="A1" s="9"/>
      <c r="B1" s="9"/>
      <c r="C1" s="33"/>
      <c r="D1" s="33"/>
      <c r="E1" s="33"/>
      <c r="F1" s="9"/>
    </row>
    <row r="2" spans="1:6" s="8" customFormat="1" ht="60" customHeight="1" x14ac:dyDescent="0.5">
      <c r="A2" s="11"/>
      <c r="B2" s="42" t="str">
        <f>COMPANY_NAME</f>
        <v>XXXX LTD</v>
      </c>
      <c r="C2" s="42"/>
      <c r="D2" s="42"/>
      <c r="E2" s="42"/>
      <c r="F2" s="12"/>
    </row>
    <row r="3" spans="1:6" s="8" customFormat="1" ht="80.099999999999994" customHeight="1" x14ac:dyDescent="1.3">
      <c r="A3" s="13"/>
      <c r="B3" s="41" t="s">
        <v>13</v>
      </c>
      <c r="C3" s="41"/>
      <c r="D3" s="41"/>
      <c r="E3" s="41"/>
      <c r="F3" s="13"/>
    </row>
    <row r="4" spans="1:6" ht="30" customHeight="1" x14ac:dyDescent="0.3">
      <c r="A4" s="3"/>
      <c r="B4" s="3"/>
      <c r="C4" s="28"/>
      <c r="D4" s="28"/>
      <c r="E4" s="28"/>
      <c r="F4" s="3"/>
    </row>
    <row r="5" spans="1:6" ht="30" customHeight="1" x14ac:dyDescent="0.3">
      <c r="A5" s="5"/>
      <c r="B5" s="18" t="s">
        <v>13</v>
      </c>
      <c r="C5" s="32" t="s">
        <v>2</v>
      </c>
      <c r="D5" s="32" t="s">
        <v>3</v>
      </c>
      <c r="E5" s="32" t="s">
        <v>4</v>
      </c>
      <c r="F5" s="10"/>
    </row>
    <row r="6" spans="1:6" ht="30" customHeight="1" x14ac:dyDescent="0.3">
      <c r="A6" s="3"/>
      <c r="B6" s="23" t="s">
        <v>36</v>
      </c>
      <c r="C6" s="30"/>
      <c r="D6" s="30"/>
      <c r="E6" s="30">
        <f>PersonnelExpenses[[#This Row],[ESTIMATED]]-PersonnelExpenses[[#This Row],[ACTUAL]]</f>
        <v>0</v>
      </c>
      <c r="F6" s="7"/>
    </row>
    <row r="7" spans="1:6" ht="30" customHeight="1" x14ac:dyDescent="0.3">
      <c r="A7" s="3"/>
      <c r="B7" s="23" t="s">
        <v>14</v>
      </c>
      <c r="C7" s="30"/>
      <c r="D7" s="30"/>
      <c r="E7" s="30">
        <f>PersonnelExpenses[[#This Row],[ESTIMATED]]-PersonnelExpenses[[#This Row],[ACTUAL]]</f>
        <v>0</v>
      </c>
      <c r="F7" s="7"/>
    </row>
    <row r="8" spans="1:6" ht="30" customHeight="1" x14ac:dyDescent="0.3">
      <c r="A8" s="3"/>
      <c r="B8" s="23" t="s">
        <v>37</v>
      </c>
      <c r="C8" s="30"/>
      <c r="D8" s="30"/>
      <c r="E8" s="30">
        <f>PersonnelExpenses[[#This Row],[ESTIMATED]]-PersonnelExpenses[[#This Row],[ACTUAL]]</f>
        <v>0</v>
      </c>
      <c r="F8" s="7"/>
    </row>
    <row r="9" spans="1:6" ht="30" customHeight="1" x14ac:dyDescent="0.25">
      <c r="B9" s="23" t="s">
        <v>15</v>
      </c>
      <c r="C9" s="22">
        <f>SUBTOTAL(109,PersonnelExpenses[ESTIMATED])</f>
        <v>0</v>
      </c>
      <c r="D9" s="22">
        <f>SUBTOTAL(109,PersonnelExpenses[ACTUAL])</f>
        <v>0</v>
      </c>
      <c r="E9" s="22">
        <f>SUBTOTAL(109,PersonnelExpenses[DIFFERENCE])</f>
        <v>0</v>
      </c>
    </row>
  </sheetData>
  <sheetProtection insertColumns="0" insertRows="0" deleteColumns="0" deleteRows="0" selectLockedCells="1" autoFilter="0"/>
  <dataConsolidate/>
  <mergeCells count="2">
    <mergeCell ref="B2:E2"/>
    <mergeCell ref="B3:E3"/>
  </mergeCells>
  <dataValidations count="6">
    <dataValidation allowBlank="1" showInputMessage="1" showErrorMessage="1" prompt="Enter Monthly Personnel Expenses in this worksheet" sqref="A1" xr:uid="{00000000-0002-0000-0200-000002000000}"/>
    <dataValidation allowBlank="1" showInputMessage="1" showErrorMessage="1" prompt="Company Name is automatically updated in this cell" sqref="B2" xr:uid="{00000000-0002-0000-0200-000003000000}"/>
    <dataValidation allowBlank="1" showInputMessage="1" showErrorMessage="1" prompt="Enter Personnel Expenses in this column under this heading. Use heading filters to find specific entries" sqref="B5" xr:uid="{00000000-0002-0000-0200-000005000000}"/>
    <dataValidation allowBlank="1" showInputMessage="1" showErrorMessage="1" prompt="Enter Estimated amount in this column under this heading" sqref="C5" xr:uid="{00000000-0002-0000-0200-000006000000}"/>
    <dataValidation allowBlank="1" showInputMessage="1" showErrorMessage="1" prompt="Enter Actual amount in this column under this heading" sqref="D5" xr:uid="{00000000-0002-0000-0200-000007000000}"/>
    <dataValidation allowBlank="1" showInputMessage="1" showErrorMessage="1" prompt="Difference of Estimated and Actual Personnel Expenses is automatically calculated in this column under this heading" sqref="E5" xr:uid="{00000000-0002-0000-0200-000008000000}"/>
  </dataValidations>
  <printOptions horizontalCentered="1"/>
  <pageMargins left="0.25" right="0.25" top="0.75" bottom="0.75" header="0.3" footer="0.3"/>
  <pageSetup fitToHeight="0" orientation="portrait" r:id="rId1"/>
  <headerFooter differentFirst="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499984740745262"/>
    <pageSetUpPr autoPageBreaks="0" fitToPage="1"/>
  </sheetPr>
  <dimension ref="A1:F23"/>
  <sheetViews>
    <sheetView showGridLines="0" topLeftCell="A7" zoomScaleNormal="100" workbookViewId="0">
      <selection activeCell="D8" sqref="D8"/>
    </sheetView>
  </sheetViews>
  <sheetFormatPr defaultColWidth="9.08984375" defaultRowHeight="30" customHeight="1" x14ac:dyDescent="0.25"/>
  <cols>
    <col min="1" max="1" width="3.453125" style="19" customWidth="1"/>
    <col min="2" max="2" width="30.1796875" style="19" customWidth="1"/>
    <col min="3" max="5" width="20.26953125" style="31" customWidth="1"/>
    <col min="6" max="6" width="3.453125" style="19" customWidth="1"/>
    <col min="7" max="7" width="4.1796875" customWidth="1"/>
  </cols>
  <sheetData>
    <row r="1" spans="1:6" s="2" customFormat="1" ht="12" customHeight="1" x14ac:dyDescent="0.3">
      <c r="A1" s="14"/>
      <c r="B1" s="14"/>
      <c r="C1" s="34"/>
      <c r="D1" s="34"/>
      <c r="E1" s="34"/>
      <c r="F1" s="14"/>
    </row>
    <row r="2" spans="1:6" s="8" customFormat="1" ht="60" customHeight="1" x14ac:dyDescent="0.5">
      <c r="A2" s="20"/>
      <c r="B2" s="42" t="str">
        <f>COMPANY_NAME</f>
        <v>XXXX LTD</v>
      </c>
      <c r="C2" s="42"/>
      <c r="D2" s="42"/>
      <c r="E2" s="42"/>
      <c r="F2" s="20"/>
    </row>
    <row r="3" spans="1:6" s="8" customFormat="1" ht="80.099999999999994" customHeight="1" x14ac:dyDescent="1.3">
      <c r="A3" s="16"/>
      <c r="B3" s="41" t="s">
        <v>16</v>
      </c>
      <c r="C3" s="41"/>
      <c r="D3" s="41"/>
      <c r="E3" s="41"/>
      <c r="F3" s="16"/>
    </row>
    <row r="4" spans="1:6" ht="30" customHeight="1" x14ac:dyDescent="0.3">
      <c r="A4" s="3"/>
      <c r="B4" s="3"/>
      <c r="C4" s="28"/>
      <c r="D4" s="28"/>
      <c r="E4" s="28"/>
      <c r="F4" s="3"/>
    </row>
    <row r="5" spans="1:6" ht="30" customHeight="1" x14ac:dyDescent="0.3">
      <c r="A5" s="3"/>
      <c r="B5" s="18" t="s">
        <v>16</v>
      </c>
      <c r="C5" s="32" t="s">
        <v>2</v>
      </c>
      <c r="D5" s="32" t="s">
        <v>3</v>
      </c>
      <c r="E5" s="32" t="s">
        <v>4</v>
      </c>
      <c r="F5" s="15"/>
    </row>
    <row r="6" spans="1:6" ht="30" customHeight="1" x14ac:dyDescent="0.3">
      <c r="A6" s="3"/>
      <c r="B6" s="23" t="s">
        <v>17</v>
      </c>
      <c r="C6" s="30"/>
      <c r="D6" s="30"/>
      <c r="E6" s="30">
        <f>OperatingExpenses[[#This Row],[ESTIMATED]]-OperatingExpenses[[#This Row],[ACTUAL]]</f>
        <v>0</v>
      </c>
      <c r="F6" s="7"/>
    </row>
    <row r="7" spans="1:6" ht="30" customHeight="1" x14ac:dyDescent="0.3">
      <c r="A7" s="3"/>
      <c r="B7" s="23" t="s">
        <v>18</v>
      </c>
      <c r="C7" s="30"/>
      <c r="D7" s="30"/>
      <c r="E7" s="30">
        <f>OperatingExpenses[[#This Row],[ESTIMATED]]-OperatingExpenses[[#This Row],[ACTUAL]]</f>
        <v>0</v>
      </c>
      <c r="F7" s="7"/>
    </row>
    <row r="8" spans="1:6" ht="30" customHeight="1" x14ac:dyDescent="0.3">
      <c r="A8" s="3"/>
      <c r="B8" s="23" t="s">
        <v>19</v>
      </c>
      <c r="C8" s="30"/>
      <c r="D8" s="30"/>
      <c r="E8" s="30">
        <f>OperatingExpenses[[#This Row],[ESTIMATED]]-OperatingExpenses[[#This Row],[ACTUAL]]</f>
        <v>0</v>
      </c>
      <c r="F8" s="7"/>
    </row>
    <row r="9" spans="1:6" ht="30" customHeight="1" x14ac:dyDescent="0.3">
      <c r="A9" s="3"/>
      <c r="B9" s="23" t="s">
        <v>20</v>
      </c>
      <c r="C9" s="30"/>
      <c r="D9" s="30"/>
      <c r="E9" s="30">
        <f>OperatingExpenses[[#This Row],[ESTIMATED]]-OperatingExpenses[[#This Row],[ACTUAL]]</f>
        <v>0</v>
      </c>
      <c r="F9" s="7"/>
    </row>
    <row r="10" spans="1:6" ht="30" customHeight="1" x14ac:dyDescent="0.3">
      <c r="A10" s="3"/>
      <c r="B10" s="23" t="s">
        <v>21</v>
      </c>
      <c r="C10" s="30"/>
      <c r="D10" s="30"/>
      <c r="E10" s="30">
        <f>OperatingExpenses[[#This Row],[ESTIMATED]]-OperatingExpenses[[#This Row],[ACTUAL]]</f>
        <v>0</v>
      </c>
      <c r="F10" s="7"/>
    </row>
    <row r="11" spans="1:6" ht="30" customHeight="1" x14ac:dyDescent="0.3">
      <c r="A11" s="3"/>
      <c r="B11" s="23" t="s">
        <v>22</v>
      </c>
      <c r="C11" s="30"/>
      <c r="D11" s="30"/>
      <c r="E11" s="30">
        <f>OperatingExpenses[[#This Row],[ESTIMATED]]-OperatingExpenses[[#This Row],[ACTUAL]]</f>
        <v>0</v>
      </c>
      <c r="F11" s="7"/>
    </row>
    <row r="12" spans="1:6" ht="30" customHeight="1" x14ac:dyDescent="0.3">
      <c r="A12" s="3"/>
      <c r="B12" s="23" t="s">
        <v>23</v>
      </c>
      <c r="C12" s="30"/>
      <c r="D12" s="30"/>
      <c r="E12" s="30">
        <f>OperatingExpenses[[#This Row],[ESTIMATED]]-OperatingExpenses[[#This Row],[ACTUAL]]</f>
        <v>0</v>
      </c>
      <c r="F12" s="7"/>
    </row>
    <row r="13" spans="1:6" ht="30" customHeight="1" x14ac:dyDescent="0.3">
      <c r="A13" s="3"/>
      <c r="B13" s="23" t="s">
        <v>24</v>
      </c>
      <c r="C13" s="30"/>
      <c r="D13" s="30"/>
      <c r="E13" s="30">
        <f>OperatingExpenses[[#This Row],[ESTIMATED]]-OperatingExpenses[[#This Row],[ACTUAL]]</f>
        <v>0</v>
      </c>
      <c r="F13" s="7"/>
    </row>
    <row r="14" spans="1:6" ht="30" customHeight="1" x14ac:dyDescent="0.3">
      <c r="A14" s="3"/>
      <c r="B14" s="23" t="s">
        <v>25</v>
      </c>
      <c r="C14" s="30"/>
      <c r="D14" s="30"/>
      <c r="E14" s="30">
        <f>OperatingExpenses[[#This Row],[ESTIMATED]]-OperatingExpenses[[#This Row],[ACTUAL]]</f>
        <v>0</v>
      </c>
      <c r="F14" s="7"/>
    </row>
    <row r="15" spans="1:6" ht="30" customHeight="1" x14ac:dyDescent="0.3">
      <c r="A15" s="3"/>
      <c r="B15" s="23" t="s">
        <v>26</v>
      </c>
      <c r="C15" s="30"/>
      <c r="D15" s="30"/>
      <c r="E15" s="30">
        <f>OperatingExpenses[[#This Row],[ESTIMATED]]-OperatingExpenses[[#This Row],[ACTUAL]]</f>
        <v>0</v>
      </c>
      <c r="F15" s="7"/>
    </row>
    <row r="16" spans="1:6" ht="30" customHeight="1" x14ac:dyDescent="0.3">
      <c r="A16" s="3"/>
      <c r="B16" s="23" t="s">
        <v>27</v>
      </c>
      <c r="C16" s="30"/>
      <c r="D16" s="30"/>
      <c r="E16" s="30">
        <f>OperatingExpenses[[#This Row],[ESTIMATED]]-OperatingExpenses[[#This Row],[ACTUAL]]</f>
        <v>0</v>
      </c>
      <c r="F16" s="7"/>
    </row>
    <row r="17" spans="1:6" ht="30" customHeight="1" x14ac:dyDescent="0.3">
      <c r="A17" s="3"/>
      <c r="B17" s="23" t="s">
        <v>28</v>
      </c>
      <c r="C17" s="30"/>
      <c r="D17" s="30"/>
      <c r="E17" s="30">
        <f>OperatingExpenses[[#This Row],[ESTIMATED]]-OperatingExpenses[[#This Row],[ACTUAL]]</f>
        <v>0</v>
      </c>
      <c r="F17" s="7"/>
    </row>
    <row r="18" spans="1:6" ht="30" customHeight="1" x14ac:dyDescent="0.3">
      <c r="A18" s="3"/>
      <c r="B18" s="23" t="s">
        <v>29</v>
      </c>
      <c r="C18" s="30"/>
      <c r="D18" s="30"/>
      <c r="E18" s="30">
        <f>OperatingExpenses[[#This Row],[ESTIMATED]]-OperatingExpenses[[#This Row],[ACTUAL]]</f>
        <v>0</v>
      </c>
      <c r="F18" s="7"/>
    </row>
    <row r="19" spans="1:6" ht="30" customHeight="1" x14ac:dyDescent="0.3">
      <c r="A19" s="3"/>
      <c r="B19" s="23" t="s">
        <v>30</v>
      </c>
      <c r="C19" s="30"/>
      <c r="D19" s="30"/>
      <c r="E19" s="30">
        <f>OperatingExpenses[[#This Row],[ESTIMATED]]-OperatingExpenses[[#This Row],[ACTUAL]]</f>
        <v>0</v>
      </c>
      <c r="F19" s="7"/>
    </row>
    <row r="20" spans="1:6" ht="30" customHeight="1" x14ac:dyDescent="0.3">
      <c r="A20" s="3"/>
      <c r="B20" s="23" t="s">
        <v>31</v>
      </c>
      <c r="C20" s="30"/>
      <c r="D20" s="30"/>
      <c r="E20" s="30">
        <f>OperatingExpenses[[#This Row],[ESTIMATED]]-OperatingExpenses[[#This Row],[ACTUAL]]</f>
        <v>0</v>
      </c>
      <c r="F20" s="7"/>
    </row>
    <row r="21" spans="1:6" ht="30" customHeight="1" x14ac:dyDescent="0.3">
      <c r="A21" s="3"/>
      <c r="B21" s="23" t="s">
        <v>32</v>
      </c>
      <c r="C21" s="30"/>
      <c r="D21" s="30"/>
      <c r="E21" s="30">
        <f>OperatingExpenses[[#This Row],[ESTIMATED]]-OperatingExpenses[[#This Row],[ACTUAL]]</f>
        <v>0</v>
      </c>
      <c r="F21" s="7"/>
    </row>
    <row r="22" spans="1:6" ht="30" customHeight="1" x14ac:dyDescent="0.3">
      <c r="A22" s="3"/>
      <c r="B22" s="23" t="s">
        <v>33</v>
      </c>
      <c r="C22" s="30"/>
      <c r="D22" s="30"/>
      <c r="E22" s="30">
        <f>OperatingExpenses[[#This Row],[ESTIMATED]]-OperatingExpenses[[#This Row],[ACTUAL]]</f>
        <v>0</v>
      </c>
      <c r="F22" s="7"/>
    </row>
    <row r="23" spans="1:6" ht="30" customHeight="1" x14ac:dyDescent="0.25">
      <c r="B23" s="23" t="s">
        <v>34</v>
      </c>
      <c r="C23" s="22">
        <f>SUBTOTAL(109,OperatingExpenses[ESTIMATED])</f>
        <v>0</v>
      </c>
      <c r="D23" s="22">
        <f>SUBTOTAL(109,OperatingExpenses[ACTUAL])</f>
        <v>0</v>
      </c>
      <c r="E23" s="22">
        <f>SUBTOTAL(109,OperatingExpenses[DIFFERENCE])</f>
        <v>0</v>
      </c>
    </row>
  </sheetData>
  <sheetProtection insertColumns="0" insertRows="0" deleteColumns="0" deleteRows="0" selectLockedCells="1" autoFilter="0"/>
  <dataConsolidate/>
  <mergeCells count="2">
    <mergeCell ref="B3:E3"/>
    <mergeCell ref="B2:E2"/>
  </mergeCells>
  <dataValidations count="5">
    <dataValidation allowBlank="1" showInputMessage="1" showErrorMessage="1" prompt="Company Name is automatically updated in this cell" sqref="B2" xr:uid="{00000000-0002-0000-0300-000003000000}"/>
    <dataValidation allowBlank="1" showInputMessage="1" showErrorMessage="1" prompt="Enter Operating Expenses in this column under this heading. Use heading filters to find specific entries" sqref="B5" xr:uid="{00000000-0002-0000-0300-000005000000}"/>
    <dataValidation allowBlank="1" showInputMessage="1" showErrorMessage="1" prompt="Enter Estimated amount in this column under this heading" sqref="C5" xr:uid="{00000000-0002-0000-0300-000006000000}"/>
    <dataValidation allowBlank="1" showInputMessage="1" showErrorMessage="1" prompt="Enter Actual amount in this column under this heading" sqref="D5" xr:uid="{00000000-0002-0000-0300-000007000000}"/>
    <dataValidation allowBlank="1" showInputMessage="1" showErrorMessage="1" prompt="Enter Monthly Operating Expense details in table below" sqref="A1" xr:uid="{8D666309-A1C1-4960-AFD8-9486C446679B}"/>
  </dataValidations>
  <printOptions horizontalCentered="1"/>
  <pageMargins left="0.25" right="0.25" top="0.75" bottom="0.75" header="0.3" footer="0.3"/>
  <pageSetup fitToHeight="0" orientation="portrait" r:id="rId1"/>
  <headerFooter differentFirst="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94F6E-9C11-451C-B63D-702CE17B5E5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C2482AEA-AF34-4BC4-BFFE-8B6C342BA3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6962AC-834B-4E66-B2EC-30E4026A21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TM03458075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Monthly budget summary</vt:lpstr>
      <vt:lpstr>Income</vt:lpstr>
      <vt:lpstr>Personnel expenses</vt:lpstr>
      <vt:lpstr>Operating expenses</vt:lpstr>
      <vt:lpstr>BUDGET_Title</vt:lpstr>
      <vt:lpstr>ColumnTitle1</vt:lpstr>
      <vt:lpstr>COMPANY_NAME</vt:lpstr>
      <vt:lpstr>Income!Print_Titles</vt:lpstr>
      <vt:lpstr>'Operating expenses'!Print_Titles</vt:lpstr>
      <vt:lpstr>'Personnel expenses'!Print_Titles</vt:lpstr>
      <vt:lpstr>Title2</vt:lpstr>
      <vt:lpstr>Title3</vt:lpstr>
      <vt:lpstr>Title4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Tractrac</dc:creator>
  <cp:keywords/>
  <dc:description/>
  <cp:lastModifiedBy>Nkechi Ibekwe</cp:lastModifiedBy>
  <cp:revision/>
  <dcterms:created xsi:type="dcterms:W3CDTF">2023-08-15T06:20:37Z</dcterms:created>
  <dcterms:modified xsi:type="dcterms:W3CDTF">2026-03-06T13:24:59Z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